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c69053c8e345a53/Desktop/Proyecto Copilot/"/>
    </mc:Choice>
  </mc:AlternateContent>
  <xr:revisionPtr revIDLastSave="44" documentId="13_ncr:1_{F5FF4FC2-105E-45F7-90DA-AA2640FEE6F2}" xr6:coauthVersionLast="47" xr6:coauthVersionMax="47" xr10:uidLastSave="{797AAF0E-6574-4AAA-B908-2BB8F804562F}"/>
  <bookViews>
    <workbookView xWindow="28680" yWindow="1395" windowWidth="24240" windowHeight="13020" xr2:uid="{90EE437F-81CB-4A4E-AE2C-0A8773015A8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1" l="1"/>
  <c r="C11" i="1"/>
  <c r="D11" i="1"/>
  <c r="D37" i="1"/>
  <c r="D32" i="1"/>
  <c r="D26" i="1"/>
  <c r="D19" i="1"/>
  <c r="C37" i="1"/>
  <c r="C32" i="1"/>
  <c r="C26" i="1"/>
  <c r="C38" i="1" l="1"/>
  <c r="C40" i="1" s="1"/>
  <c r="D38" i="1"/>
  <c r="C39" i="1" l="1"/>
  <c r="D39" i="1"/>
  <c r="D40" i="1"/>
</calcChain>
</file>

<file path=xl/sharedStrings.xml><?xml version="1.0" encoding="utf-8"?>
<sst xmlns="http://schemas.openxmlformats.org/spreadsheetml/2006/main" count="57" uniqueCount="35">
  <si>
    <t>Proyecto</t>
  </si>
  <si>
    <t>Esfuerzo en hrs</t>
  </si>
  <si>
    <t>Manual</t>
  </si>
  <si>
    <t>Asistido Copilot</t>
  </si>
  <si>
    <t>Responsable</t>
  </si>
  <si>
    <t>Total</t>
  </si>
  <si>
    <t>Fase 4: Documentacion del proyecto</t>
  </si>
  <si>
    <t>Total Previsto</t>
  </si>
  <si>
    <t>Dias</t>
  </si>
  <si>
    <t>Semanas</t>
  </si>
  <si>
    <t xml:space="preserve">Bloque 1: Diseño y Arquitectura </t>
  </si>
  <si>
    <t>Bloque 2: Desarrollo CORE</t>
  </si>
  <si>
    <t>Fase 3: UI y Persistencia</t>
  </si>
  <si>
    <t>Análisis funcional de auditoría de BPs</t>
  </si>
  <si>
    <t>Diseño arquitectura OO y principios SOLID</t>
  </si>
  <si>
    <t>Definición de interfaces de validación</t>
  </si>
  <si>
    <t>Diseño clases por tipo de BP</t>
  </si>
  <si>
    <t>Definición de flujo entre componentes</t>
  </si>
  <si>
    <t>Lectura selectiva de BPs desde BUT000</t>
  </si>
  <si>
    <t>Implementación validación NIT y DPI</t>
  </si>
  <si>
    <t>Validación de email y teléfono</t>
  </si>
  <si>
    <t>Desarrollo clase procesadora de BPs</t>
  </si>
  <si>
    <t>Generación de propuestas de corrección</t>
  </si>
  <si>
    <t>Diseño pantalla de selección de BPs</t>
  </si>
  <si>
    <t>Desarrollo reporte ALV de auditoría</t>
  </si>
  <si>
    <t>Implementación semáforos de estado</t>
  </si>
  <si>
    <t>Actualización de datos vía BAPI</t>
  </si>
  <si>
    <t>Visualización mensajes de retorno</t>
  </si>
  <si>
    <t>ABAP Unit Test validación NIT</t>
  </si>
  <si>
    <t>ABAP Unit Test DPI, email y teléfono</t>
  </si>
  <si>
    <t>Pruebas integrales del proceso</t>
  </si>
  <si>
    <t>Revisión de errores con Copilot</t>
  </si>
  <si>
    <t>Documentación Final</t>
  </si>
  <si>
    <t>Axel Pineda</t>
  </si>
  <si>
    <t>Fase 4: Garantía de Calidad y Depuración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</si>
</sst>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3" fillId="2" borderId="1" xfId="0" applyFont="1" applyFill="1" applyBorder="1" applyAlignment="1">
      <alignment vertical="center"/>
    </xf>
    <xf numFmtId="0" fontId="1" fillId="0" borderId="0" xfId="0" applyFont="1" applyAlignment="1">
      <alignment horizontal="right"/>
    </xf>
    <xf numFmtId="43" fontId="0" fillId="0" borderId="0" xfId="1" applyFont="1"/>
    <xf numFmtId="0" fontId="0" fillId="0" borderId="0" xfId="0" applyAlignment="1">
      <alignment horizontal="right"/>
    </xf>
    <xf numFmtId="0" fontId="5" fillId="0" borderId="0" xfId="2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1BD49-78DA-4960-B5DA-5250E24FCA41}">
  <dimension ref="B2:E40"/>
  <sheetViews>
    <sheetView tabSelected="1" workbookViewId="0"/>
  </sheetViews>
  <sheetFormatPr baseColWidth="10" defaultColWidth="11.42578125" defaultRowHeight="15" x14ac:dyDescent="0.25"/>
  <cols>
    <col min="2" max="2" width="69.85546875" customWidth="1"/>
    <col min="3" max="3" width="14.28515625" bestFit="1" customWidth="1"/>
    <col min="4" max="4" width="14.85546875" bestFit="1" customWidth="1"/>
    <col min="5" max="5" width="15.5703125" bestFit="1" customWidth="1"/>
  </cols>
  <sheetData>
    <row r="2" spans="2:5" ht="21" x14ac:dyDescent="0.35">
      <c r="B2" s="1" t="s">
        <v>0</v>
      </c>
    </row>
    <row r="3" spans="2:5" x14ac:dyDescent="0.25">
      <c r="B3" s="7"/>
      <c r="C3" s="9" t="s">
        <v>1</v>
      </c>
      <c r="D3" s="9"/>
    </row>
    <row r="4" spans="2:5" x14ac:dyDescent="0.25">
      <c r="C4" s="2" t="s">
        <v>2</v>
      </c>
      <c r="D4" s="2" t="s">
        <v>3</v>
      </c>
      <c r="E4" s="2" t="s">
        <v>4</v>
      </c>
    </row>
    <row r="5" spans="2:5" ht="15.75" x14ac:dyDescent="0.25">
      <c r="B5" s="3" t="s">
        <v>10</v>
      </c>
    </row>
    <row r="6" spans="2:5" x14ac:dyDescent="0.25">
      <c r="B6" s="8" t="s">
        <v>13</v>
      </c>
      <c r="C6" s="8">
        <v>4</v>
      </c>
      <c r="D6">
        <v>4</v>
      </c>
      <c r="E6" t="s">
        <v>33</v>
      </c>
    </row>
    <row r="7" spans="2:5" x14ac:dyDescent="0.25">
      <c r="B7" s="8" t="s">
        <v>14</v>
      </c>
      <c r="C7" s="8">
        <v>4</v>
      </c>
      <c r="D7">
        <v>3</v>
      </c>
      <c r="E7" t="s">
        <v>33</v>
      </c>
    </row>
    <row r="8" spans="2:5" x14ac:dyDescent="0.25">
      <c r="B8" s="8" t="s">
        <v>15</v>
      </c>
      <c r="C8" s="8">
        <v>4</v>
      </c>
      <c r="D8">
        <v>3</v>
      </c>
      <c r="E8" t="s">
        <v>33</v>
      </c>
    </row>
    <row r="9" spans="2:5" x14ac:dyDescent="0.25">
      <c r="B9" s="8" t="s">
        <v>16</v>
      </c>
      <c r="C9" s="8">
        <v>4</v>
      </c>
      <c r="D9">
        <v>3</v>
      </c>
      <c r="E9" t="s">
        <v>33</v>
      </c>
    </row>
    <row r="10" spans="2:5" x14ac:dyDescent="0.25">
      <c r="B10" s="8" t="s">
        <v>17</v>
      </c>
      <c r="C10" s="8">
        <v>3</v>
      </c>
      <c r="D10">
        <v>3</v>
      </c>
      <c r="E10" t="s">
        <v>33</v>
      </c>
    </row>
    <row r="11" spans="2:5" x14ac:dyDescent="0.25">
      <c r="B11" s="4" t="s">
        <v>5</v>
      </c>
      <c r="C11">
        <f>SUM(C6:C10)</f>
        <v>19</v>
      </c>
      <c r="D11">
        <f>SUM(D6:D10)</f>
        <v>16</v>
      </c>
    </row>
    <row r="12" spans="2:5" x14ac:dyDescent="0.25">
      <c r="C12" s="2"/>
      <c r="D12" s="2"/>
      <c r="E12" s="2"/>
    </row>
    <row r="13" spans="2:5" ht="17.25" customHeight="1" x14ac:dyDescent="0.25">
      <c r="B13" s="3" t="s">
        <v>11</v>
      </c>
    </row>
    <row r="14" spans="2:5" x14ac:dyDescent="0.25">
      <c r="B14" s="8" t="s">
        <v>18</v>
      </c>
      <c r="C14" s="8">
        <v>4</v>
      </c>
      <c r="D14">
        <v>3</v>
      </c>
      <c r="E14" t="s">
        <v>33</v>
      </c>
    </row>
    <row r="15" spans="2:5" x14ac:dyDescent="0.25">
      <c r="B15" s="8" t="s">
        <v>19</v>
      </c>
      <c r="C15" s="8">
        <v>4</v>
      </c>
      <c r="D15">
        <v>2</v>
      </c>
      <c r="E15" t="s">
        <v>33</v>
      </c>
    </row>
    <row r="16" spans="2:5" x14ac:dyDescent="0.25">
      <c r="B16" s="8" t="s">
        <v>20</v>
      </c>
      <c r="C16" s="8">
        <v>4</v>
      </c>
      <c r="D16">
        <v>2</v>
      </c>
      <c r="E16" t="s">
        <v>33</v>
      </c>
    </row>
    <row r="17" spans="2:5" x14ac:dyDescent="0.25">
      <c r="B17" s="8" t="s">
        <v>21</v>
      </c>
      <c r="C17" s="8">
        <v>4</v>
      </c>
      <c r="D17">
        <v>2</v>
      </c>
      <c r="E17" t="s">
        <v>33</v>
      </c>
    </row>
    <row r="18" spans="2:5" x14ac:dyDescent="0.25">
      <c r="B18" s="8" t="s">
        <v>22</v>
      </c>
      <c r="C18" s="8">
        <v>4</v>
      </c>
      <c r="D18">
        <v>2</v>
      </c>
      <c r="E18" t="s">
        <v>33</v>
      </c>
    </row>
    <row r="19" spans="2:5" x14ac:dyDescent="0.25">
      <c r="B19" s="4" t="s">
        <v>5</v>
      </c>
      <c r="C19">
        <f>SUM(C14:C18)</f>
        <v>20</v>
      </c>
      <c r="D19">
        <f>SUM(D14:D18)</f>
        <v>11</v>
      </c>
    </row>
    <row r="20" spans="2:5" ht="17.25" customHeight="1" x14ac:dyDescent="0.25">
      <c r="B20" s="3" t="s">
        <v>12</v>
      </c>
    </row>
    <row r="21" spans="2:5" x14ac:dyDescent="0.25">
      <c r="B21" s="8" t="s">
        <v>23</v>
      </c>
      <c r="C21" s="8">
        <v>4</v>
      </c>
      <c r="D21">
        <v>2</v>
      </c>
      <c r="E21" t="s">
        <v>33</v>
      </c>
    </row>
    <row r="22" spans="2:5" x14ac:dyDescent="0.25">
      <c r="B22" s="8" t="s">
        <v>24</v>
      </c>
      <c r="C22" s="8">
        <v>5</v>
      </c>
      <c r="D22">
        <v>4</v>
      </c>
      <c r="E22" t="s">
        <v>33</v>
      </c>
    </row>
    <row r="23" spans="2:5" x14ac:dyDescent="0.25">
      <c r="B23" s="8" t="s">
        <v>25</v>
      </c>
      <c r="C23" s="8">
        <v>3</v>
      </c>
      <c r="D23">
        <v>2</v>
      </c>
      <c r="E23" t="s">
        <v>33</v>
      </c>
    </row>
    <row r="24" spans="2:5" x14ac:dyDescent="0.25">
      <c r="B24" s="8" t="s">
        <v>26</v>
      </c>
      <c r="C24" s="8">
        <v>4</v>
      </c>
      <c r="D24">
        <v>3</v>
      </c>
      <c r="E24" t="s">
        <v>33</v>
      </c>
    </row>
    <row r="25" spans="2:5" x14ac:dyDescent="0.25">
      <c r="B25" s="8" t="s">
        <v>27</v>
      </c>
      <c r="C25" s="8">
        <v>3</v>
      </c>
      <c r="D25">
        <v>2</v>
      </c>
      <c r="E25" t="s">
        <v>33</v>
      </c>
    </row>
    <row r="26" spans="2:5" x14ac:dyDescent="0.25">
      <c r="B26" s="4" t="s">
        <v>5</v>
      </c>
      <c r="C26">
        <f>SUM(C21:C25)</f>
        <v>19</v>
      </c>
      <c r="D26">
        <f>SUM(D21:D25)</f>
        <v>13</v>
      </c>
    </row>
    <row r="27" spans="2:5" ht="15.75" x14ac:dyDescent="0.25">
      <c r="B27" s="3" t="s">
        <v>34</v>
      </c>
    </row>
    <row r="28" spans="2:5" x14ac:dyDescent="0.25">
      <c r="B28" s="8" t="s">
        <v>28</v>
      </c>
      <c r="C28" s="8">
        <v>3</v>
      </c>
      <c r="D28">
        <v>2</v>
      </c>
      <c r="E28" t="s">
        <v>33</v>
      </c>
    </row>
    <row r="29" spans="2:5" x14ac:dyDescent="0.25">
      <c r="B29" s="8" t="s">
        <v>29</v>
      </c>
      <c r="C29" s="8">
        <v>3</v>
      </c>
      <c r="D29">
        <v>2</v>
      </c>
      <c r="E29" t="s">
        <v>33</v>
      </c>
    </row>
    <row r="30" spans="2:5" x14ac:dyDescent="0.25">
      <c r="B30" s="8" t="s">
        <v>30</v>
      </c>
      <c r="C30" s="8">
        <v>2</v>
      </c>
      <c r="D30">
        <v>1</v>
      </c>
      <c r="E30" t="s">
        <v>33</v>
      </c>
    </row>
    <row r="31" spans="2:5" x14ac:dyDescent="0.25">
      <c r="B31" s="8" t="s">
        <v>31</v>
      </c>
      <c r="C31" s="8">
        <v>2</v>
      </c>
      <c r="D31">
        <v>1</v>
      </c>
      <c r="E31" t="s">
        <v>33</v>
      </c>
    </row>
    <row r="32" spans="2:5" x14ac:dyDescent="0.25">
      <c r="B32" s="4" t="s">
        <v>5</v>
      </c>
      <c r="C32">
        <f>SUM(C28:C31)</f>
        <v>10</v>
      </c>
      <c r="D32">
        <f>SUM(D28:D31)</f>
        <v>6</v>
      </c>
    </row>
    <row r="34" spans="2:5" ht="15.75" x14ac:dyDescent="0.25">
      <c r="B34" s="3" t="s">
        <v>6</v>
      </c>
    </row>
    <row r="35" spans="2:5" x14ac:dyDescent="0.25">
      <c r="B35" t="s">
        <v>32</v>
      </c>
      <c r="C35">
        <v>8</v>
      </c>
      <c r="E35" t="s">
        <v>33</v>
      </c>
    </row>
    <row r="37" spans="2:5" x14ac:dyDescent="0.25">
      <c r="C37">
        <f>SUM(C35:C36)</f>
        <v>8</v>
      </c>
      <c r="D37">
        <f>SUM(D35:D36)</f>
        <v>0</v>
      </c>
    </row>
    <row r="38" spans="2:5" x14ac:dyDescent="0.25">
      <c r="B38" s="4" t="s">
        <v>7</v>
      </c>
      <c r="C38">
        <f>SUM(C11,C19,C26,C32,C37)</f>
        <v>76</v>
      </c>
      <c r="D38">
        <f>SUM(D11,D19,D26,D32,D37)</f>
        <v>46</v>
      </c>
    </row>
    <row r="39" spans="2:5" x14ac:dyDescent="0.25">
      <c r="B39" s="6" t="s">
        <v>9</v>
      </c>
      <c r="C39" s="5">
        <f>C38/40</f>
        <v>1.9</v>
      </c>
      <c r="D39" s="5">
        <f>D38/40</f>
        <v>1.1499999999999999</v>
      </c>
    </row>
    <row r="40" spans="2:5" x14ac:dyDescent="0.25">
      <c r="B40" s="6" t="s">
        <v>8</v>
      </c>
      <c r="C40" s="5">
        <f>C38/8</f>
        <v>9.5</v>
      </c>
      <c r="D40" s="5">
        <f>D38/8</f>
        <v>5.75</v>
      </c>
    </row>
  </sheetData>
  <mergeCells count="1"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Aroldo Portillo</dc:creator>
  <cp:keywords/>
  <dc:description/>
  <cp:lastModifiedBy>Axel Pineda</cp:lastModifiedBy>
  <cp:revision/>
  <dcterms:created xsi:type="dcterms:W3CDTF">2025-10-02T16:16:53Z</dcterms:created>
  <dcterms:modified xsi:type="dcterms:W3CDTF">2026-02-27T15:03:34Z</dcterms:modified>
  <cp:category/>
  <cp:contentStatus/>
</cp:coreProperties>
</file>